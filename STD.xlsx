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FF35479C-8AA2-4752-BAF8-1D3239D0B689}" xr6:coauthVersionLast="47" xr6:coauthVersionMax="47" xr10:uidLastSave="{00000000-0000-0000-0000-000000000000}"/>
  <bookViews>
    <workbookView xWindow="-120" yWindow="-120" windowWidth="29040" windowHeight="15720" xr2:uid="{76244447-4CCE-48A9-A072-C641ECD7F2F2}"/>
  </bookViews>
  <sheets>
    <sheet name="New Chuwit Std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</calcChain>
</file>

<file path=xl/sharedStrings.xml><?xml version="1.0" encoding="utf-8"?>
<sst xmlns="http://schemas.openxmlformats.org/spreadsheetml/2006/main" count="31" uniqueCount="19">
  <si>
    <t>Chuwit Target Guide Year 2022 Start Jul, 26th 2022</t>
  </si>
  <si>
    <t>Feed Intake (grams)</t>
  </si>
  <si>
    <t>Body Weight (grams)</t>
  </si>
  <si>
    <t>Accumulated Mortality (%)</t>
  </si>
  <si>
    <t>Feed Conversion Rate; FCR</t>
  </si>
  <si>
    <t>Performance Index</t>
  </si>
  <si>
    <t>Age</t>
  </si>
  <si>
    <t>AH</t>
  </si>
  <si>
    <t>Male</t>
  </si>
  <si>
    <t>Female</t>
  </si>
  <si>
    <t>DOC</t>
  </si>
  <si>
    <t>1 wks</t>
  </si>
  <si>
    <t>2 wks</t>
  </si>
  <si>
    <t>3 wks</t>
  </si>
  <si>
    <t>4 wks</t>
  </si>
  <si>
    <t>5 wks</t>
  </si>
  <si>
    <t>6 wks</t>
  </si>
  <si>
    <t>7 wks</t>
  </si>
  <si>
    <t>8 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</si>
</sst>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5" borderId="4" xfId="0" applyFont="1" applyFill="1" applyBorder="1" applyAlignment="1">
      <alignment horizontal="center"/>
    </xf>
    <xf numFmtId="3" fontId="2" fillId="5" borderId="4" xfId="0" applyNumberFormat="1" applyFont="1" applyFill="1" applyBorder="1"/>
    <xf numFmtId="0" fontId="2" fillId="5" borderId="4" xfId="0" applyFont="1" applyFill="1" applyBorder="1"/>
    <xf numFmtId="4" fontId="2" fillId="5" borderId="4" xfId="0" applyNumberFormat="1" applyFont="1" applyFill="1" applyBorder="1"/>
    <xf numFmtId="3" fontId="2" fillId="5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3" fontId="2" fillId="4" borderId="4" xfId="0" applyNumberFormat="1" applyFont="1" applyFill="1" applyBorder="1"/>
    <xf numFmtId="3" fontId="2" fillId="3" borderId="4" xfId="0" applyNumberFormat="1" applyFont="1" applyFill="1" applyBorder="1"/>
    <xf numFmtId="3" fontId="2" fillId="2" borderId="4" xfId="0" applyNumberFormat="1" applyFont="1" applyFill="1" applyBorder="1"/>
    <xf numFmtId="4" fontId="2" fillId="4" borderId="4" xfId="0" applyNumberFormat="1" applyFont="1" applyFill="1" applyBorder="1"/>
    <xf numFmtId="4" fontId="2" fillId="3" borderId="4" xfId="0" applyNumberFormat="1" applyFont="1" applyFill="1" applyBorder="1"/>
    <xf numFmtId="4" fontId="2" fillId="2" borderId="4" xfId="0" applyNumberFormat="1" applyFont="1" applyFill="1" applyBorder="1"/>
    <xf numFmtId="3" fontId="2" fillId="4" borderId="4" xfId="0" applyNumberFormat="1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0583-8766-4639-A62C-E13D186C95F8}">
  <sheetPr>
    <pageSetUpPr fitToPage="1"/>
  </sheetPr>
  <dimension ref="A1:Q61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1" sqref="S1:Z1048576"/>
    </sheetView>
  </sheetViews>
  <sheetFormatPr defaultColWidth="8.85546875" defaultRowHeight="21"/>
  <cols>
    <col min="1" max="1" width="8.85546875" style="17"/>
    <col min="2" max="2" width="10.42578125" style="30" customWidth="1"/>
    <col min="3" max="4" width="8.85546875" style="17" bestFit="1" customWidth="1"/>
    <col min="5" max="5" width="12.42578125" style="17" customWidth="1"/>
    <col min="6" max="7" width="8.85546875" style="17" bestFit="1" customWidth="1"/>
    <col min="8" max="8" width="11.140625" style="17" customWidth="1"/>
    <col min="9" max="9" width="10.85546875" style="17" customWidth="1"/>
    <col min="10" max="10" width="11.140625" style="17" customWidth="1"/>
    <col min="11" max="11" width="12.42578125" style="17" customWidth="1"/>
    <col min="12" max="14" width="11.28515625" style="17" customWidth="1"/>
    <col min="15" max="16" width="9.42578125" style="17" bestFit="1" customWidth="1"/>
    <col min="17" max="17" width="11.28515625" style="17" customWidth="1"/>
    <col min="18" max="16384" width="8.85546875" style="17"/>
  </cols>
  <sheetData>
    <row r="1" spans="1:17" s="2" customFormat="1" ht="58.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6" customFormat="1">
      <c r="A2" s="3"/>
      <c r="B2" s="4"/>
      <c r="C2" s="5" t="s">
        <v>1</v>
      </c>
      <c r="D2" s="5"/>
      <c r="E2" s="5"/>
      <c r="F2" s="5" t="s">
        <v>2</v>
      </c>
      <c r="G2" s="5"/>
      <c r="H2" s="5"/>
      <c r="I2" s="5" t="s">
        <v>3</v>
      </c>
      <c r="J2" s="5"/>
      <c r="K2" s="5"/>
      <c r="L2" s="5" t="s">
        <v>4</v>
      </c>
      <c r="M2" s="5"/>
      <c r="N2" s="5"/>
      <c r="O2" s="5" t="s">
        <v>5</v>
      </c>
      <c r="P2" s="5"/>
      <c r="Q2" s="5"/>
    </row>
    <row r="3" spans="1:17" s="6" customFormat="1" ht="34.9" customHeight="1">
      <c r="A3" s="7" t="s">
        <v>6</v>
      </c>
      <c r="B3" s="7"/>
      <c r="C3" s="8" t="s">
        <v>7</v>
      </c>
      <c r="D3" s="9" t="s">
        <v>8</v>
      </c>
      <c r="E3" s="10" t="s">
        <v>9</v>
      </c>
      <c r="F3" s="8" t="s">
        <v>7</v>
      </c>
      <c r="G3" s="9" t="s">
        <v>8</v>
      </c>
      <c r="H3" s="10" t="s">
        <v>9</v>
      </c>
      <c r="I3" s="8" t="s">
        <v>7</v>
      </c>
      <c r="J3" s="9" t="s">
        <v>8</v>
      </c>
      <c r="K3" s="10" t="s">
        <v>9</v>
      </c>
      <c r="L3" s="8" t="s">
        <v>7</v>
      </c>
      <c r="M3" s="9" t="s">
        <v>8</v>
      </c>
      <c r="N3" s="10" t="s">
        <v>9</v>
      </c>
      <c r="O3" s="8" t="s">
        <v>7</v>
      </c>
      <c r="P3" s="9" t="s">
        <v>8</v>
      </c>
      <c r="Q3" s="10" t="s">
        <v>9</v>
      </c>
    </row>
    <row r="4" spans="1:17">
      <c r="A4" s="11" t="s">
        <v>10</v>
      </c>
      <c r="B4" s="12">
        <v>0</v>
      </c>
      <c r="C4" s="13">
        <v>4.5</v>
      </c>
      <c r="D4" s="13">
        <v>0</v>
      </c>
      <c r="E4" s="14"/>
      <c r="F4" s="13">
        <v>37.800000000000004</v>
      </c>
      <c r="G4" s="13">
        <v>37.800000000000004</v>
      </c>
      <c r="H4" s="13">
        <v>37.800000000000004</v>
      </c>
      <c r="I4" s="15">
        <v>0.1</v>
      </c>
      <c r="J4" s="15">
        <v>0.1</v>
      </c>
      <c r="K4" s="15">
        <v>0.1</v>
      </c>
      <c r="L4" s="15">
        <v>0.13227513227513227</v>
      </c>
      <c r="M4" s="15">
        <v>0</v>
      </c>
      <c r="N4" s="15">
        <v>0.32921810699588477</v>
      </c>
      <c r="O4" s="16"/>
      <c r="P4" s="16"/>
      <c r="Q4" s="16"/>
    </row>
    <row r="5" spans="1:17">
      <c r="A5" s="18" t="s">
        <v>11</v>
      </c>
      <c r="B5" s="19">
        <f>B4+1</f>
        <v>1</v>
      </c>
      <c r="C5" s="20">
        <v>16.2</v>
      </c>
      <c r="D5" s="21">
        <v>16.2</v>
      </c>
      <c r="E5" s="22">
        <v>14.4</v>
      </c>
      <c r="F5" s="20">
        <v>49.5</v>
      </c>
      <c r="G5" s="21">
        <v>50.4</v>
      </c>
      <c r="H5" s="22">
        <v>48.6</v>
      </c>
      <c r="I5" s="23">
        <v>0.25</v>
      </c>
      <c r="J5" s="24">
        <v>0.25</v>
      </c>
      <c r="K5" s="25">
        <v>0.25</v>
      </c>
      <c r="L5" s="23">
        <v>0.36363636363636365</v>
      </c>
      <c r="M5" s="24">
        <v>0.35714285714285715</v>
      </c>
      <c r="N5" s="25">
        <v>0.55555555555555558</v>
      </c>
      <c r="O5" s="26"/>
      <c r="P5" s="27"/>
      <c r="Q5" s="28"/>
    </row>
    <row r="6" spans="1:17">
      <c r="A6" s="18"/>
      <c r="B6" s="19">
        <f t="shared" ref="B6:B60" si="0">B5+1</f>
        <v>2</v>
      </c>
      <c r="C6" s="20">
        <v>35.1</v>
      </c>
      <c r="D6" s="21">
        <v>35.1</v>
      </c>
      <c r="E6" s="22">
        <v>31.5</v>
      </c>
      <c r="F6" s="20">
        <v>63.9</v>
      </c>
      <c r="G6" s="21">
        <v>64.8</v>
      </c>
      <c r="H6" s="22">
        <v>63</v>
      </c>
      <c r="I6" s="23">
        <v>0.45</v>
      </c>
      <c r="J6" s="24">
        <v>0.45</v>
      </c>
      <c r="K6" s="25">
        <v>0.45</v>
      </c>
      <c r="L6" s="23">
        <v>0.61032863849765262</v>
      </c>
      <c r="M6" s="24">
        <v>0.60185185185185186</v>
      </c>
      <c r="N6" s="25">
        <v>0.73232323232323238</v>
      </c>
      <c r="O6" s="26">
        <v>521.13276346153839</v>
      </c>
      <c r="P6" s="27">
        <v>535.91593846153842</v>
      </c>
      <c r="Q6" s="28">
        <v>564.44849999999997</v>
      </c>
    </row>
    <row r="7" spans="1:17">
      <c r="A7" s="18"/>
      <c r="B7" s="19">
        <f t="shared" si="0"/>
        <v>3</v>
      </c>
      <c r="C7" s="20">
        <v>56.7</v>
      </c>
      <c r="D7" s="21">
        <v>55.800000000000004</v>
      </c>
      <c r="E7" s="22">
        <v>52.2</v>
      </c>
      <c r="F7" s="20">
        <v>81</v>
      </c>
      <c r="G7" s="21">
        <v>82.8</v>
      </c>
      <c r="H7" s="22">
        <v>79.2</v>
      </c>
      <c r="I7" s="23">
        <v>0.65</v>
      </c>
      <c r="J7" s="24">
        <v>0.65</v>
      </c>
      <c r="K7" s="25">
        <v>0.65</v>
      </c>
      <c r="L7" s="23">
        <v>0.77777777777777779</v>
      </c>
      <c r="M7" s="24">
        <v>0.74879227053140096</v>
      </c>
      <c r="N7" s="25">
        <v>0.84848484848484851</v>
      </c>
      <c r="O7" s="26">
        <v>344.88642857142855</v>
      </c>
      <c r="P7" s="27">
        <v>366.19769032258057</v>
      </c>
      <c r="Q7" s="28">
        <v>358.15332413793101</v>
      </c>
    </row>
    <row r="8" spans="1:17">
      <c r="A8" s="18"/>
      <c r="B8" s="19">
        <f t="shared" si="0"/>
        <v>4</v>
      </c>
      <c r="C8" s="20">
        <v>80.100000000000009</v>
      </c>
      <c r="D8" s="21">
        <v>78.3</v>
      </c>
      <c r="E8" s="22">
        <v>75.600000000000009</v>
      </c>
      <c r="F8" s="20">
        <v>100.8</v>
      </c>
      <c r="G8" s="21">
        <v>102.60000000000001</v>
      </c>
      <c r="H8" s="22">
        <v>99</v>
      </c>
      <c r="I8" s="23">
        <v>0.85000000000000009</v>
      </c>
      <c r="J8" s="24">
        <v>0.85000000000000009</v>
      </c>
      <c r="K8" s="25">
        <v>0.85000000000000009</v>
      </c>
      <c r="L8" s="23">
        <v>0.88293650793650791</v>
      </c>
      <c r="M8" s="24">
        <v>0.8479532163742689</v>
      </c>
      <c r="N8" s="25">
        <v>0.92181069958847739</v>
      </c>
      <c r="O8" s="26">
        <v>282.98524044943821</v>
      </c>
      <c r="P8" s="27">
        <v>299.92191206896558</v>
      </c>
      <c r="Q8" s="28">
        <v>289.21700892857143</v>
      </c>
    </row>
    <row r="9" spans="1:17">
      <c r="A9" s="18"/>
      <c r="B9" s="19">
        <f t="shared" si="0"/>
        <v>5</v>
      </c>
      <c r="C9" s="20">
        <v>105.3</v>
      </c>
      <c r="D9" s="21">
        <v>103.5</v>
      </c>
      <c r="E9" s="22">
        <v>100.8</v>
      </c>
      <c r="F9" s="20">
        <v>124.2</v>
      </c>
      <c r="G9" s="21">
        <v>126.9</v>
      </c>
      <c r="H9" s="22">
        <v>121.5</v>
      </c>
      <c r="I9" s="23">
        <v>1</v>
      </c>
      <c r="J9" s="24">
        <v>1</v>
      </c>
      <c r="K9" s="25">
        <v>1</v>
      </c>
      <c r="L9" s="23">
        <v>0.94202898550724634</v>
      </c>
      <c r="M9" s="24">
        <v>0.90622537431048067</v>
      </c>
      <c r="N9" s="25">
        <v>0.95622895622895621</v>
      </c>
      <c r="O9" s="26">
        <v>261.04929230769233</v>
      </c>
      <c r="P9" s="27">
        <v>277.26215478260872</v>
      </c>
      <c r="Q9" s="28">
        <v>260.97549107142856</v>
      </c>
    </row>
    <row r="10" spans="1:17">
      <c r="A10" s="18"/>
      <c r="B10" s="19">
        <f t="shared" si="0"/>
        <v>6</v>
      </c>
      <c r="C10" s="20">
        <v>132.30000000000001</v>
      </c>
      <c r="D10" s="21">
        <v>131.4</v>
      </c>
      <c r="E10" s="22">
        <v>127.8</v>
      </c>
      <c r="F10" s="20">
        <v>151.20000000000002</v>
      </c>
      <c r="G10" s="21">
        <v>153.9</v>
      </c>
      <c r="H10" s="22">
        <v>148.5</v>
      </c>
      <c r="I10" s="23">
        <v>1.1499999999999999</v>
      </c>
      <c r="J10" s="24">
        <v>1.1499999999999999</v>
      </c>
      <c r="K10" s="25">
        <v>1.1499999999999999</v>
      </c>
      <c r="L10" s="23">
        <v>0.9722222222222221</v>
      </c>
      <c r="M10" s="24">
        <v>0.94866796621182581</v>
      </c>
      <c r="N10" s="25">
        <v>0.98269123394751534</v>
      </c>
      <c r="O10" s="26">
        <v>256.21920000000006</v>
      </c>
      <c r="P10" s="27">
        <v>267.26974982876709</v>
      </c>
      <c r="Q10" s="28">
        <v>255.85268926056338</v>
      </c>
    </row>
    <row r="11" spans="1:17">
      <c r="A11" s="18"/>
      <c r="B11" s="29">
        <f t="shared" si="0"/>
        <v>7</v>
      </c>
      <c r="C11" s="13">
        <v>162</v>
      </c>
      <c r="D11" s="13">
        <v>163.80000000000001</v>
      </c>
      <c r="E11" s="13">
        <v>158.4</v>
      </c>
      <c r="F11" s="13">
        <v>181.8</v>
      </c>
      <c r="G11" s="13">
        <v>184.5</v>
      </c>
      <c r="H11" s="13">
        <v>179.1</v>
      </c>
      <c r="I11" s="15">
        <v>1.25</v>
      </c>
      <c r="J11" s="15">
        <v>1.25</v>
      </c>
      <c r="K11" s="15">
        <v>1.25</v>
      </c>
      <c r="L11" s="15">
        <v>0.99009900990099009</v>
      </c>
      <c r="M11" s="15">
        <v>0.98644986449864502</v>
      </c>
      <c r="N11" s="15">
        <v>1.0169491525423728</v>
      </c>
      <c r="O11" s="16">
        <v>259.0325357142857</v>
      </c>
      <c r="P11" s="16">
        <v>263.85201628728413</v>
      </c>
      <c r="Q11" s="16">
        <v>257.10917106331169</v>
      </c>
    </row>
    <row r="12" spans="1:17">
      <c r="A12" s="18" t="s">
        <v>12</v>
      </c>
      <c r="B12" s="19">
        <f t="shared" si="0"/>
        <v>8</v>
      </c>
      <c r="C12" s="20">
        <v>198</v>
      </c>
      <c r="D12" s="21">
        <v>199.8</v>
      </c>
      <c r="E12" s="22">
        <v>194.4</v>
      </c>
      <c r="F12" s="20">
        <v>216</v>
      </c>
      <c r="G12" s="21">
        <v>219.6</v>
      </c>
      <c r="H12" s="22">
        <v>212.4</v>
      </c>
      <c r="I12" s="23">
        <v>1.35</v>
      </c>
      <c r="J12" s="24">
        <v>1.35</v>
      </c>
      <c r="K12" s="25">
        <v>1.35</v>
      </c>
      <c r="L12" s="23">
        <v>1.0185185185185186</v>
      </c>
      <c r="M12" s="24">
        <v>1.0109289617486339</v>
      </c>
      <c r="N12" s="25">
        <v>1.038647342995169</v>
      </c>
      <c r="O12" s="26">
        <v>261.51218181818183</v>
      </c>
      <c r="P12" s="27">
        <v>267.86674459459459</v>
      </c>
      <c r="Q12" s="28">
        <v>257.55048750000003</v>
      </c>
    </row>
    <row r="13" spans="1:17">
      <c r="A13" s="18"/>
      <c r="B13" s="19">
        <f t="shared" si="0"/>
        <v>9</v>
      </c>
      <c r="C13" s="20">
        <v>237.6</v>
      </c>
      <c r="D13" s="21">
        <v>240.3</v>
      </c>
      <c r="E13" s="22">
        <v>232.20000000000002</v>
      </c>
      <c r="F13" s="20">
        <v>254.70000000000002</v>
      </c>
      <c r="G13" s="21">
        <v>260.10000000000002</v>
      </c>
      <c r="H13" s="22">
        <v>248.4</v>
      </c>
      <c r="I13" s="23">
        <v>1.4500000000000002</v>
      </c>
      <c r="J13" s="24">
        <v>1.4500000000000002</v>
      </c>
      <c r="K13" s="25">
        <v>1.4500000000000002</v>
      </c>
      <c r="L13" s="23">
        <v>1.0365135453474676</v>
      </c>
      <c r="M13" s="24">
        <v>1.0265282583621684</v>
      </c>
      <c r="N13" s="25">
        <v>1.0625</v>
      </c>
      <c r="O13" s="26">
        <v>269.07173693181818</v>
      </c>
      <c r="P13" s="27">
        <v>277.44925449438205</v>
      </c>
      <c r="Q13" s="28">
        <v>261.87714418604651</v>
      </c>
    </row>
    <row r="14" spans="1:17">
      <c r="A14" s="18"/>
      <c r="B14" s="19">
        <f t="shared" si="0"/>
        <v>10</v>
      </c>
      <c r="C14" s="20">
        <v>282.60000000000002</v>
      </c>
      <c r="D14" s="21">
        <v>287.10000000000002</v>
      </c>
      <c r="E14" s="22">
        <v>275.40000000000003</v>
      </c>
      <c r="F14" s="20">
        <v>297</v>
      </c>
      <c r="G14" s="21">
        <v>305.10000000000002</v>
      </c>
      <c r="H14" s="22">
        <v>288</v>
      </c>
      <c r="I14" s="23">
        <v>1.5500000000000003</v>
      </c>
      <c r="J14" s="24">
        <v>1.5500000000000003</v>
      </c>
      <c r="K14" s="25">
        <v>1.5500000000000003</v>
      </c>
      <c r="L14" s="23">
        <v>1.0572390572390573</v>
      </c>
      <c r="M14" s="24">
        <v>1.0455588331694525</v>
      </c>
      <c r="N14" s="25">
        <v>1.084010840108401</v>
      </c>
      <c r="O14" s="26">
        <v>276.56611624203822</v>
      </c>
      <c r="P14" s="27">
        <v>287.28268603448288</v>
      </c>
      <c r="Q14" s="28">
        <v>266.85741176470594</v>
      </c>
    </row>
    <row r="15" spans="1:17">
      <c r="A15" s="18"/>
      <c r="B15" s="19">
        <f t="shared" si="0"/>
        <v>11</v>
      </c>
      <c r="C15" s="20">
        <v>333.90000000000003</v>
      </c>
      <c r="D15" s="21">
        <v>341.1</v>
      </c>
      <c r="E15" s="22">
        <v>324</v>
      </c>
      <c r="F15" s="20">
        <v>343.8</v>
      </c>
      <c r="G15" s="21">
        <v>355.5</v>
      </c>
      <c r="H15" s="22">
        <v>332.1</v>
      </c>
      <c r="I15" s="23">
        <v>1.6500000000000004</v>
      </c>
      <c r="J15" s="24">
        <v>1.6500000000000004</v>
      </c>
      <c r="K15" s="25">
        <v>1.6500000000000004</v>
      </c>
      <c r="L15" s="23">
        <v>1.0791157649796392</v>
      </c>
      <c r="M15" s="24">
        <v>1.0661040787623066</v>
      </c>
      <c r="N15" s="25">
        <v>1.1084718923198731</v>
      </c>
      <c r="O15" s="26">
        <v>284.85215814751285</v>
      </c>
      <c r="P15" s="27">
        <v>298.14098314943624</v>
      </c>
      <c r="Q15" s="28">
        <v>273.91570261363643</v>
      </c>
    </row>
    <row r="16" spans="1:17">
      <c r="A16" s="18"/>
      <c r="B16" s="19">
        <f t="shared" si="0"/>
        <v>12</v>
      </c>
      <c r="C16" s="20">
        <v>391.5</v>
      </c>
      <c r="D16" s="21">
        <v>402.3</v>
      </c>
      <c r="E16" s="22">
        <v>378</v>
      </c>
      <c r="F16" s="20">
        <v>396</v>
      </c>
      <c r="G16" s="21">
        <v>411.3</v>
      </c>
      <c r="H16" s="22">
        <v>378.90000000000003</v>
      </c>
      <c r="I16" s="23">
        <v>1.8500000000000003</v>
      </c>
      <c r="J16" s="24">
        <v>1.8500000000000003</v>
      </c>
      <c r="K16" s="25">
        <v>1.8500000000000003</v>
      </c>
      <c r="L16" s="23">
        <v>1.0984848484848484</v>
      </c>
      <c r="M16" s="24">
        <v>1.086797957695113</v>
      </c>
      <c r="N16" s="25">
        <v>1.1320316132031614</v>
      </c>
      <c r="O16" s="26">
        <v>294.85613793103454</v>
      </c>
      <c r="P16" s="27">
        <v>309.54155058724837</v>
      </c>
      <c r="Q16" s="28">
        <v>279.58185241071436</v>
      </c>
    </row>
    <row r="17" spans="1:17">
      <c r="A17" s="18"/>
      <c r="B17" s="19">
        <f t="shared" si="0"/>
        <v>13</v>
      </c>
      <c r="C17" s="20">
        <v>457.2</v>
      </c>
      <c r="D17" s="21">
        <v>472.5</v>
      </c>
      <c r="E17" s="22">
        <v>438.3</v>
      </c>
      <c r="F17" s="20">
        <v>452.7</v>
      </c>
      <c r="G17" s="21">
        <v>472.5</v>
      </c>
      <c r="H17" s="22">
        <v>430.2</v>
      </c>
      <c r="I17" s="23">
        <v>2.0500000000000003</v>
      </c>
      <c r="J17" s="24">
        <v>2.0500000000000003</v>
      </c>
      <c r="K17" s="25">
        <v>2.0500000000000003</v>
      </c>
      <c r="L17" s="23">
        <v>1.1221559531698697</v>
      </c>
      <c r="M17" s="24">
        <v>1.1111111111111112</v>
      </c>
      <c r="N17" s="25">
        <v>1.1566314918270226</v>
      </c>
      <c r="O17" s="26">
        <v>303.96135002271348</v>
      </c>
      <c r="P17" s="27">
        <v>320.40951923076921</v>
      </c>
      <c r="Q17" s="28">
        <v>286.33401228873788</v>
      </c>
    </row>
    <row r="18" spans="1:17">
      <c r="A18" s="18"/>
      <c r="B18" s="29">
        <f t="shared" si="0"/>
        <v>14</v>
      </c>
      <c r="C18" s="13">
        <v>529.20000000000005</v>
      </c>
      <c r="D18" s="13">
        <v>553.5</v>
      </c>
      <c r="E18" s="13">
        <v>503.1</v>
      </c>
      <c r="F18" s="13">
        <v>513</v>
      </c>
      <c r="G18" s="13">
        <v>542.70000000000005</v>
      </c>
      <c r="H18" s="13">
        <v>483.3</v>
      </c>
      <c r="I18" s="15">
        <v>2.2000000000000002</v>
      </c>
      <c r="J18" s="15">
        <v>2.2000000000000002</v>
      </c>
      <c r="K18" s="15">
        <v>2.2000000000000002</v>
      </c>
      <c r="L18" s="15">
        <v>1.1461988304093567</v>
      </c>
      <c r="M18" s="15">
        <v>1.1332227750138197</v>
      </c>
      <c r="N18" s="15">
        <v>1.1813643926788686</v>
      </c>
      <c r="O18" s="16">
        <v>312.65704810495629</v>
      </c>
      <c r="P18" s="16">
        <v>334.54561860627189</v>
      </c>
      <c r="Q18" s="16">
        <v>291.89899619217988</v>
      </c>
    </row>
    <row r="19" spans="1:17">
      <c r="A19" s="18" t="s">
        <v>13</v>
      </c>
      <c r="B19" s="19">
        <f t="shared" si="0"/>
        <v>15</v>
      </c>
      <c r="C19" s="20">
        <v>604.80000000000007</v>
      </c>
      <c r="D19" s="21">
        <v>633.6</v>
      </c>
      <c r="E19" s="22">
        <v>575.1</v>
      </c>
      <c r="F19" s="20">
        <v>575.1</v>
      </c>
      <c r="G19" s="21">
        <v>609.30000000000007</v>
      </c>
      <c r="H19" s="22">
        <v>540.9</v>
      </c>
      <c r="I19" s="23">
        <v>2.25</v>
      </c>
      <c r="J19" s="24">
        <v>2.25</v>
      </c>
      <c r="K19" s="25">
        <v>2.25</v>
      </c>
      <c r="L19" s="23">
        <v>1.16849243609807</v>
      </c>
      <c r="M19" s="24">
        <v>1.1554242573444935</v>
      </c>
      <c r="N19" s="25">
        <v>1.2077294685990336</v>
      </c>
      <c r="O19" s="26">
        <v>320.73249977678569</v>
      </c>
      <c r="P19" s="27">
        <v>343.64909467329551</v>
      </c>
      <c r="Q19" s="28">
        <v>298.37237535211267</v>
      </c>
    </row>
    <row r="20" spans="1:17">
      <c r="A20" s="18"/>
      <c r="B20" s="19">
        <f t="shared" si="0"/>
        <v>16</v>
      </c>
      <c r="C20" s="20">
        <v>686.7</v>
      </c>
      <c r="D20" s="21">
        <v>720</v>
      </c>
      <c r="E20" s="22">
        <v>652.5</v>
      </c>
      <c r="F20" s="20">
        <v>639.9</v>
      </c>
      <c r="G20" s="21">
        <v>678.6</v>
      </c>
      <c r="H20" s="22">
        <v>600.30000000000007</v>
      </c>
      <c r="I20" s="23">
        <v>2.2999999999999998</v>
      </c>
      <c r="J20" s="24">
        <v>2.2999999999999998</v>
      </c>
      <c r="K20" s="25">
        <v>2.2999999999999998</v>
      </c>
      <c r="L20" s="23">
        <v>1.1923738084075637</v>
      </c>
      <c r="M20" s="24">
        <v>1.1788977306218686</v>
      </c>
      <c r="N20" s="25">
        <v>1.2332278003919792</v>
      </c>
      <c r="O20" s="26">
        <v>327.69835662680214</v>
      </c>
      <c r="P20" s="27">
        <v>351.48945853124997</v>
      </c>
      <c r="Q20" s="28">
        <v>303.51017925000008</v>
      </c>
    </row>
    <row r="21" spans="1:17">
      <c r="A21" s="18"/>
      <c r="B21" s="19">
        <f t="shared" si="0"/>
        <v>17</v>
      </c>
      <c r="C21" s="20">
        <v>774.9</v>
      </c>
      <c r="D21" s="21">
        <v>812.7</v>
      </c>
      <c r="E21" s="22">
        <v>736.2</v>
      </c>
      <c r="F21" s="20">
        <v>707.4</v>
      </c>
      <c r="G21" s="21">
        <v>750.6</v>
      </c>
      <c r="H21" s="22">
        <v>663.30000000000007</v>
      </c>
      <c r="I21" s="23">
        <v>2.3499999999999996</v>
      </c>
      <c r="J21" s="24">
        <v>2.3499999999999996</v>
      </c>
      <c r="K21" s="25">
        <v>2.3499999999999996</v>
      </c>
      <c r="L21" s="23">
        <v>1.2171331636980491</v>
      </c>
      <c r="M21" s="24">
        <v>1.2030375699440448</v>
      </c>
      <c r="N21" s="25">
        <v>1.2578875171467765</v>
      </c>
      <c r="O21" s="26">
        <v>333.84915839311338</v>
      </c>
      <c r="P21" s="27">
        <v>358.38736990424081</v>
      </c>
      <c r="Q21" s="28">
        <v>308.95129302818935</v>
      </c>
    </row>
    <row r="22" spans="1:17">
      <c r="A22" s="18"/>
      <c r="B22" s="19">
        <f t="shared" si="0"/>
        <v>18</v>
      </c>
      <c r="C22" s="20">
        <v>869.4</v>
      </c>
      <c r="D22" s="21">
        <v>911.7</v>
      </c>
      <c r="E22" s="22">
        <v>825.30000000000007</v>
      </c>
      <c r="F22" s="20">
        <v>777.6</v>
      </c>
      <c r="G22" s="21">
        <v>826.2</v>
      </c>
      <c r="H22" s="22">
        <v>729</v>
      </c>
      <c r="I22" s="23">
        <v>2.3999999999999995</v>
      </c>
      <c r="J22" s="24">
        <v>2.3999999999999995</v>
      </c>
      <c r="K22" s="25">
        <v>2.3999999999999995</v>
      </c>
      <c r="L22" s="23">
        <v>1.242283950617284</v>
      </c>
      <c r="M22" s="24">
        <v>1.2260953764221738</v>
      </c>
      <c r="N22" s="25">
        <v>1.2843691148775895</v>
      </c>
      <c r="O22" s="26">
        <v>339.40066583850927</v>
      </c>
      <c r="P22" s="27">
        <v>365.37451214215196</v>
      </c>
      <c r="Q22" s="28">
        <v>314.24113413304246</v>
      </c>
    </row>
    <row r="23" spans="1:17">
      <c r="A23" s="18"/>
      <c r="B23" s="19">
        <f t="shared" si="0"/>
        <v>19</v>
      </c>
      <c r="C23" s="20">
        <v>969.30000000000007</v>
      </c>
      <c r="D23" s="21">
        <v>1017</v>
      </c>
      <c r="E23" s="22">
        <v>920.7</v>
      </c>
      <c r="F23" s="20">
        <v>850.5</v>
      </c>
      <c r="G23" s="21">
        <v>904.5</v>
      </c>
      <c r="H23" s="22">
        <v>796.5</v>
      </c>
      <c r="I23" s="23">
        <v>2.4999999999999996</v>
      </c>
      <c r="J23" s="24">
        <v>2.4499999999999993</v>
      </c>
      <c r="K23" s="25">
        <v>2.4999999999999996</v>
      </c>
      <c r="L23" s="23">
        <v>1.2663139329805997</v>
      </c>
      <c r="M23" s="24">
        <v>1.2493090105030404</v>
      </c>
      <c r="N23" s="25">
        <v>1.3095650167301258</v>
      </c>
      <c r="O23" s="26">
        <v>344.65449530860576</v>
      </c>
      <c r="P23" s="27">
        <v>371.71695569399151</v>
      </c>
      <c r="Q23" s="28">
        <v>318.23426647630805</v>
      </c>
    </row>
    <row r="24" spans="1:17">
      <c r="A24" s="18"/>
      <c r="B24" s="19">
        <f t="shared" si="0"/>
        <v>20</v>
      </c>
      <c r="C24" s="20">
        <v>1075.5</v>
      </c>
      <c r="D24" s="21">
        <v>1128.6000000000001</v>
      </c>
      <c r="E24" s="22">
        <v>1021.5</v>
      </c>
      <c r="F24" s="20">
        <v>926.1</v>
      </c>
      <c r="G24" s="21">
        <v>985.5</v>
      </c>
      <c r="H24" s="22">
        <v>866.7</v>
      </c>
      <c r="I24" s="23">
        <v>2.5999999999999996</v>
      </c>
      <c r="J24" s="24">
        <v>2.4999999999999991</v>
      </c>
      <c r="K24" s="25">
        <v>2.5999999999999996</v>
      </c>
      <c r="L24" s="23">
        <v>1.2903574128063924</v>
      </c>
      <c r="M24" s="24">
        <v>1.2724505327245053</v>
      </c>
      <c r="N24" s="25">
        <v>1.3348247576435497</v>
      </c>
      <c r="O24" s="26">
        <v>349.52385712970715</v>
      </c>
      <c r="P24" s="27">
        <v>377.563793361244</v>
      </c>
      <c r="Q24" s="28">
        <v>322.30770874889873</v>
      </c>
    </row>
    <row r="25" spans="1:17">
      <c r="A25" s="18"/>
      <c r="B25" s="29">
        <f t="shared" si="0"/>
        <v>21</v>
      </c>
      <c r="C25" s="13">
        <v>1188</v>
      </c>
      <c r="D25" s="13">
        <v>1246.5</v>
      </c>
      <c r="E25" s="13">
        <v>1127.7</v>
      </c>
      <c r="F25" s="13">
        <v>1004.4</v>
      </c>
      <c r="G25" s="13">
        <v>1069.2</v>
      </c>
      <c r="H25" s="13">
        <v>938.7</v>
      </c>
      <c r="I25" s="15">
        <v>2.8</v>
      </c>
      <c r="J25" s="15">
        <v>2.5499999999999989</v>
      </c>
      <c r="K25" s="15">
        <v>2.8</v>
      </c>
      <c r="L25" s="15">
        <v>1.3142174432497014</v>
      </c>
      <c r="M25" s="15">
        <v>1.2953610175832397</v>
      </c>
      <c r="N25" s="15">
        <v>1.3587921847246891</v>
      </c>
      <c r="O25" s="16">
        <v>353.7418535064935</v>
      </c>
      <c r="P25" s="16">
        <v>383.02813466735438</v>
      </c>
      <c r="Q25" s="16">
        <v>325.49890726256984</v>
      </c>
    </row>
    <row r="26" spans="1:17">
      <c r="A26" s="18" t="s">
        <v>14</v>
      </c>
      <c r="B26" s="19">
        <f t="shared" si="0"/>
        <v>22</v>
      </c>
      <c r="C26" s="20">
        <v>1305.9000000000001</v>
      </c>
      <c r="D26" s="21">
        <v>1370.7</v>
      </c>
      <c r="E26" s="22">
        <v>1239.3</v>
      </c>
      <c r="F26" s="20">
        <v>1084.5</v>
      </c>
      <c r="G26" s="21">
        <v>1155.6000000000001</v>
      </c>
      <c r="H26" s="22">
        <v>1013.4</v>
      </c>
      <c r="I26" s="23">
        <v>2.9</v>
      </c>
      <c r="J26" s="24">
        <v>2.5999999999999988</v>
      </c>
      <c r="K26" s="25">
        <v>2.9</v>
      </c>
      <c r="L26" s="23">
        <v>1.3379437528815121</v>
      </c>
      <c r="M26" s="24">
        <v>1.3179300796123223</v>
      </c>
      <c r="N26" s="25">
        <v>1.3838383838383839</v>
      </c>
      <c r="O26" s="26">
        <v>357.75709001628968</v>
      </c>
      <c r="P26" s="27">
        <v>388.19634233868572</v>
      </c>
      <c r="Q26" s="28">
        <v>329.17315401069516</v>
      </c>
    </row>
    <row r="27" spans="1:17">
      <c r="A27" s="18"/>
      <c r="B27" s="19">
        <f t="shared" si="0"/>
        <v>23</v>
      </c>
      <c r="C27" s="20">
        <v>1429.2</v>
      </c>
      <c r="D27" s="21">
        <v>1500.3</v>
      </c>
      <c r="E27" s="22">
        <v>1356.3</v>
      </c>
      <c r="F27" s="20">
        <v>1166.4000000000001</v>
      </c>
      <c r="G27" s="21">
        <v>1243.8</v>
      </c>
      <c r="H27" s="22">
        <v>1089</v>
      </c>
      <c r="I27" s="23">
        <v>3</v>
      </c>
      <c r="J27" s="24">
        <v>2.6499999999999986</v>
      </c>
      <c r="K27" s="25">
        <v>3</v>
      </c>
      <c r="L27" s="23">
        <v>1.3614540466392318</v>
      </c>
      <c r="M27" s="24">
        <v>1.3402476282360507</v>
      </c>
      <c r="N27" s="25">
        <v>1.4075216311145378</v>
      </c>
      <c r="O27" s="26">
        <v>361.31702201292308</v>
      </c>
      <c r="P27" s="27">
        <v>392.80194083096427</v>
      </c>
      <c r="Q27" s="28">
        <v>331.88406854966672</v>
      </c>
    </row>
    <row r="28" spans="1:17">
      <c r="A28" s="18"/>
      <c r="B28" s="19">
        <f t="shared" si="0"/>
        <v>24</v>
      </c>
      <c r="C28" s="20">
        <v>1557.9</v>
      </c>
      <c r="D28" s="21">
        <v>1636.2</v>
      </c>
      <c r="E28" s="22">
        <v>1478.7</v>
      </c>
      <c r="F28" s="20">
        <v>1251</v>
      </c>
      <c r="G28" s="21">
        <v>1333.8</v>
      </c>
      <c r="H28" s="22">
        <v>1167.3</v>
      </c>
      <c r="I28" s="23">
        <v>3.1</v>
      </c>
      <c r="J28" s="24">
        <v>2.6999999999999984</v>
      </c>
      <c r="K28" s="25">
        <v>3.1</v>
      </c>
      <c r="L28" s="23">
        <v>1.3836930455635492</v>
      </c>
      <c r="M28" s="24">
        <v>1.3630229419703104</v>
      </c>
      <c r="N28" s="25">
        <v>1.4301747635080968</v>
      </c>
      <c r="O28" s="26">
        <v>365.0312846620451</v>
      </c>
      <c r="P28" s="27">
        <v>396.72461361386138</v>
      </c>
      <c r="Q28" s="28">
        <v>334.84201207395006</v>
      </c>
    </row>
    <row r="29" spans="1:17">
      <c r="A29" s="18"/>
      <c r="B29" s="19">
        <f t="shared" si="0"/>
        <v>25</v>
      </c>
      <c r="C29" s="20">
        <v>1692</v>
      </c>
      <c r="D29" s="21">
        <v>1777.5</v>
      </c>
      <c r="E29" s="22">
        <v>1605.6000000000001</v>
      </c>
      <c r="F29" s="20">
        <v>1337.4</v>
      </c>
      <c r="G29" s="21">
        <v>1426.5</v>
      </c>
      <c r="H29" s="22">
        <v>1247.4000000000001</v>
      </c>
      <c r="I29" s="23">
        <v>3.15</v>
      </c>
      <c r="J29" s="24">
        <v>2.7499999999999982</v>
      </c>
      <c r="K29" s="25">
        <v>3.15</v>
      </c>
      <c r="L29" s="23">
        <v>1.4057125766412442</v>
      </c>
      <c r="M29" s="24">
        <v>1.3845075359270942</v>
      </c>
      <c r="N29" s="25">
        <v>1.4518919732189874</v>
      </c>
      <c r="O29" s="26">
        <v>368.57375299148941</v>
      </c>
      <c r="P29" s="27">
        <v>400.79846848101272</v>
      </c>
      <c r="Q29" s="28">
        <v>337.89070561883409</v>
      </c>
    </row>
    <row r="30" spans="1:17">
      <c r="A30" s="18"/>
      <c r="B30" s="19">
        <f t="shared" si="0"/>
        <v>26</v>
      </c>
      <c r="C30" s="20">
        <v>1830.6000000000001</v>
      </c>
      <c r="D30" s="21">
        <v>1923.3</v>
      </c>
      <c r="E30" s="22">
        <v>1737</v>
      </c>
      <c r="F30" s="20">
        <v>1424.7</v>
      </c>
      <c r="G30" s="21">
        <v>1521</v>
      </c>
      <c r="H30" s="22">
        <v>1329.3</v>
      </c>
      <c r="I30" s="23">
        <v>3.1999999999999997</v>
      </c>
      <c r="J30" s="24">
        <v>2.799999999999998</v>
      </c>
      <c r="K30" s="25">
        <v>3.1999999999999997</v>
      </c>
      <c r="L30" s="23">
        <v>1.4276689829437776</v>
      </c>
      <c r="M30" s="24">
        <v>1.4049967126890204</v>
      </c>
      <c r="N30" s="25">
        <v>1.4736916648962537</v>
      </c>
      <c r="O30" s="26">
        <v>371.53344057181755</v>
      </c>
      <c r="P30" s="27">
        <v>404.71269068788024</v>
      </c>
      <c r="Q30" s="28">
        <v>340.8715142128338</v>
      </c>
    </row>
    <row r="31" spans="1:17">
      <c r="A31" s="18"/>
      <c r="B31" s="19">
        <f t="shared" si="0"/>
        <v>27</v>
      </c>
      <c r="C31" s="20">
        <v>1974.6000000000001</v>
      </c>
      <c r="D31" s="21">
        <v>2074.5</v>
      </c>
      <c r="E31" s="22">
        <v>1872.9</v>
      </c>
      <c r="F31" s="20">
        <v>1513.8</v>
      </c>
      <c r="G31" s="21">
        <v>1616.4</v>
      </c>
      <c r="H31" s="22">
        <v>1412.1000000000001</v>
      </c>
      <c r="I31" s="23">
        <v>3.2499999999999996</v>
      </c>
      <c r="J31" s="24">
        <v>2.8499999999999979</v>
      </c>
      <c r="K31" s="25">
        <v>3.2499999999999996</v>
      </c>
      <c r="L31" s="23">
        <v>1.4493328048619369</v>
      </c>
      <c r="M31" s="24">
        <v>1.4260084137589706</v>
      </c>
      <c r="N31" s="25">
        <v>1.4955207915496724</v>
      </c>
      <c r="O31" s="26">
        <v>374.2722155879672</v>
      </c>
      <c r="P31" s="27">
        <v>407.85500355748371</v>
      </c>
      <c r="Q31" s="28">
        <v>343.35710247477181</v>
      </c>
    </row>
    <row r="32" spans="1:17">
      <c r="A32" s="18"/>
      <c r="B32" s="29">
        <f t="shared" si="0"/>
        <v>28</v>
      </c>
      <c r="C32" s="13">
        <v>2123.1</v>
      </c>
      <c r="D32" s="13">
        <v>2230.2000000000003</v>
      </c>
      <c r="E32" s="13">
        <v>2013.3</v>
      </c>
      <c r="F32" s="13">
        <v>1604.7</v>
      </c>
      <c r="G32" s="13">
        <v>1713.6000000000001</v>
      </c>
      <c r="H32" s="13">
        <v>1495.8</v>
      </c>
      <c r="I32" s="15">
        <v>3.2999999999999994</v>
      </c>
      <c r="J32" s="15">
        <v>2.8999999999999977</v>
      </c>
      <c r="K32" s="15">
        <v>3.3499999999999996</v>
      </c>
      <c r="L32" s="15">
        <v>1.470056708419019</v>
      </c>
      <c r="M32" s="15">
        <v>1.4460784313725488</v>
      </c>
      <c r="N32" s="15">
        <v>1.516473787390122</v>
      </c>
      <c r="O32" s="16">
        <v>376.98859096318063</v>
      </c>
      <c r="P32" s="16">
        <v>410.94036610169508</v>
      </c>
      <c r="Q32" s="16">
        <v>345.24301504885369</v>
      </c>
    </row>
    <row r="33" spans="1:17">
      <c r="A33" s="18" t="s">
        <v>15</v>
      </c>
      <c r="B33" s="19">
        <f t="shared" si="0"/>
        <v>29</v>
      </c>
      <c r="C33" s="20">
        <v>2275.2000000000003</v>
      </c>
      <c r="D33" s="21">
        <v>2390.4</v>
      </c>
      <c r="E33" s="22">
        <v>2158.2000000000003</v>
      </c>
      <c r="F33" s="20">
        <v>1697.4</v>
      </c>
      <c r="G33" s="21">
        <v>1812.6000000000001</v>
      </c>
      <c r="H33" s="22">
        <v>1581.3</v>
      </c>
      <c r="I33" s="23">
        <v>3.3499999999999992</v>
      </c>
      <c r="J33" s="24">
        <v>2.9499999999999975</v>
      </c>
      <c r="K33" s="25">
        <v>3.4499999999999997</v>
      </c>
      <c r="L33" s="23">
        <v>1.4893366324967598</v>
      </c>
      <c r="M33" s="24">
        <v>1.4652984662915149</v>
      </c>
      <c r="N33" s="25">
        <v>1.5368471547640463</v>
      </c>
      <c r="O33" s="26">
        <v>379.83518026243996</v>
      </c>
      <c r="P33" s="27">
        <v>413.97434002129211</v>
      </c>
      <c r="Q33" s="28">
        <v>347.16316840111006</v>
      </c>
    </row>
    <row r="34" spans="1:17">
      <c r="A34" s="18"/>
      <c r="B34" s="19">
        <f t="shared" si="0"/>
        <v>30</v>
      </c>
      <c r="C34" s="20">
        <v>2431.8000000000002</v>
      </c>
      <c r="D34" s="21">
        <v>2555.1</v>
      </c>
      <c r="E34" s="22">
        <v>2306.7000000000003</v>
      </c>
      <c r="F34" s="20">
        <v>1790.1000000000001</v>
      </c>
      <c r="G34" s="21">
        <v>1912.5</v>
      </c>
      <c r="H34" s="22">
        <v>1667.7</v>
      </c>
      <c r="I34" s="23">
        <v>3.399999999999999</v>
      </c>
      <c r="J34" s="24">
        <v>2.9999999999999973</v>
      </c>
      <c r="K34" s="25">
        <v>3.55</v>
      </c>
      <c r="L34" s="23">
        <v>1.5094128819619015</v>
      </c>
      <c r="M34" s="24">
        <v>1.4844444444444445</v>
      </c>
      <c r="N34" s="25">
        <v>1.5558972606640469</v>
      </c>
      <c r="O34" s="26">
        <v>381.87841569948188</v>
      </c>
      <c r="P34" s="27">
        <v>416.56998502994009</v>
      </c>
      <c r="Q34" s="28">
        <v>348.87369790674995</v>
      </c>
    </row>
    <row r="35" spans="1:17">
      <c r="A35" s="18"/>
      <c r="B35" s="19">
        <f t="shared" si="0"/>
        <v>31</v>
      </c>
      <c r="C35" s="20">
        <v>2592</v>
      </c>
      <c r="D35" s="21">
        <v>2724.3</v>
      </c>
      <c r="E35" s="22">
        <v>2458.8000000000002</v>
      </c>
      <c r="F35" s="20">
        <v>1884.6000000000001</v>
      </c>
      <c r="G35" s="21">
        <v>2013.3</v>
      </c>
      <c r="H35" s="22">
        <v>1755.9</v>
      </c>
      <c r="I35" s="23">
        <v>3.4499999999999988</v>
      </c>
      <c r="J35" s="24">
        <v>3.0499999999999972</v>
      </c>
      <c r="K35" s="25">
        <v>3.65</v>
      </c>
      <c r="L35" s="23">
        <v>1.5281757402101241</v>
      </c>
      <c r="M35" s="24">
        <v>1.5035017136045299</v>
      </c>
      <c r="N35" s="25">
        <v>1.5752941814435226</v>
      </c>
      <c r="O35" s="26">
        <v>384.09306877016127</v>
      </c>
      <c r="P35" s="27">
        <v>418.78458335784387</v>
      </c>
      <c r="Q35" s="28">
        <v>350.75905214601141</v>
      </c>
    </row>
    <row r="36" spans="1:17">
      <c r="A36" s="18"/>
      <c r="B36" s="19">
        <f t="shared" si="0"/>
        <v>32</v>
      </c>
      <c r="C36" s="20">
        <v>2756.7000000000003</v>
      </c>
      <c r="D36" s="21">
        <v>2897.1</v>
      </c>
      <c r="E36" s="22">
        <v>2614.5</v>
      </c>
      <c r="F36" s="20">
        <v>1980</v>
      </c>
      <c r="G36" s="21">
        <v>2115</v>
      </c>
      <c r="H36" s="22">
        <v>1844.1000000000001</v>
      </c>
      <c r="I36" s="23">
        <v>3.4999999999999987</v>
      </c>
      <c r="J36" s="24">
        <v>3.099999999999997</v>
      </c>
      <c r="K36" s="25">
        <v>3.75</v>
      </c>
      <c r="L36" s="23">
        <v>1.5469696969696969</v>
      </c>
      <c r="M36" s="24">
        <v>1.521985815602837</v>
      </c>
      <c r="N36" s="25">
        <v>1.5942478791640802</v>
      </c>
      <c r="O36" s="26">
        <v>385.97637120470131</v>
      </c>
      <c r="P36" s="27">
        <v>420.79790161929168</v>
      </c>
      <c r="Q36" s="28">
        <v>352.10610796310237</v>
      </c>
    </row>
    <row r="37" spans="1:17">
      <c r="A37" s="18"/>
      <c r="B37" s="19">
        <f t="shared" si="0"/>
        <v>33</v>
      </c>
      <c r="C37" s="20">
        <v>2925</v>
      </c>
      <c r="D37" s="21">
        <v>3073.5</v>
      </c>
      <c r="E37" s="22">
        <v>2773.8</v>
      </c>
      <c r="F37" s="20">
        <v>2075.4</v>
      </c>
      <c r="G37" s="21">
        <v>2217.6</v>
      </c>
      <c r="H37" s="22">
        <v>1933.2</v>
      </c>
      <c r="I37" s="23">
        <v>3.5499999999999985</v>
      </c>
      <c r="J37" s="24">
        <v>3.1499999999999968</v>
      </c>
      <c r="K37" s="25">
        <v>3.85</v>
      </c>
      <c r="L37" s="23">
        <v>1.5659631878192155</v>
      </c>
      <c r="M37" s="24">
        <v>1.5399531024531024</v>
      </c>
      <c r="N37" s="25">
        <v>1.6127916172400159</v>
      </c>
      <c r="O37" s="26">
        <v>387.35445564755253</v>
      </c>
      <c r="P37" s="27">
        <v>422.63105218155198</v>
      </c>
      <c r="Q37" s="28">
        <v>353.31029081470126</v>
      </c>
    </row>
    <row r="38" spans="1:17">
      <c r="A38" s="18"/>
      <c r="B38" s="19">
        <f t="shared" si="0"/>
        <v>34</v>
      </c>
      <c r="C38" s="20">
        <v>3096.9</v>
      </c>
      <c r="D38" s="21">
        <v>3253.5</v>
      </c>
      <c r="E38" s="22">
        <v>2936.7000000000003</v>
      </c>
      <c r="F38" s="20">
        <v>2171.7000000000003</v>
      </c>
      <c r="G38" s="21">
        <v>2321.1</v>
      </c>
      <c r="H38" s="22">
        <v>2023.2</v>
      </c>
      <c r="I38" s="23">
        <v>3.6499999999999986</v>
      </c>
      <c r="J38" s="24">
        <v>3.2499999999999969</v>
      </c>
      <c r="K38" s="25">
        <v>3.95</v>
      </c>
      <c r="L38" s="23">
        <v>1.5844729935073902</v>
      </c>
      <c r="M38" s="24">
        <v>1.5574512084787386</v>
      </c>
      <c r="N38" s="25">
        <v>1.631648684459587</v>
      </c>
      <c r="O38" s="26">
        <v>388.40766513795586</v>
      </c>
      <c r="P38" s="27">
        <v>424.08358072370021</v>
      </c>
      <c r="Q38" s="28">
        <v>354.38800269690466</v>
      </c>
    </row>
    <row r="39" spans="1:17">
      <c r="A39" s="18"/>
      <c r="B39" s="29">
        <f t="shared" si="0"/>
        <v>35</v>
      </c>
      <c r="C39" s="13">
        <v>3271.5</v>
      </c>
      <c r="D39" s="13">
        <v>3437.1</v>
      </c>
      <c r="E39" s="13">
        <v>3103.2000000000003</v>
      </c>
      <c r="F39" s="13">
        <v>2268.9</v>
      </c>
      <c r="G39" s="13">
        <v>2424.6</v>
      </c>
      <c r="H39" s="13">
        <v>2113.2000000000003</v>
      </c>
      <c r="I39" s="15">
        <v>3.7999999999999985</v>
      </c>
      <c r="J39" s="15">
        <v>3.349999999999997</v>
      </c>
      <c r="K39" s="15">
        <v>4.1000000000000005</v>
      </c>
      <c r="L39" s="15">
        <v>1.6020979329190357</v>
      </c>
      <c r="M39" s="15">
        <v>1.5751051719871318</v>
      </c>
      <c r="N39" s="15">
        <v>1.6503267973856206</v>
      </c>
      <c r="O39" s="16">
        <v>389.25421387463155</v>
      </c>
      <c r="P39" s="16">
        <v>425.07381940971828</v>
      </c>
      <c r="Q39" s="16">
        <v>354.86609679814399</v>
      </c>
    </row>
    <row r="40" spans="1:17">
      <c r="A40" s="18" t="s">
        <v>16</v>
      </c>
      <c r="B40" s="19">
        <f t="shared" si="0"/>
        <v>36</v>
      </c>
      <c r="C40" s="20">
        <v>3449.7000000000003</v>
      </c>
      <c r="D40" s="21">
        <v>3624.3</v>
      </c>
      <c r="E40" s="22">
        <v>3272.4</v>
      </c>
      <c r="F40" s="20">
        <v>2366.1</v>
      </c>
      <c r="G40" s="21">
        <v>2529</v>
      </c>
      <c r="H40" s="22">
        <v>2203.2000000000003</v>
      </c>
      <c r="I40" s="23">
        <v>3.9499999999999984</v>
      </c>
      <c r="J40" s="24">
        <v>3.4499999999999971</v>
      </c>
      <c r="K40" s="25">
        <v>4.2500000000000009</v>
      </c>
      <c r="L40" s="23">
        <v>1.6199653438147161</v>
      </c>
      <c r="M40" s="24">
        <v>1.5923289837880585</v>
      </c>
      <c r="N40" s="25">
        <v>1.6686282202170786</v>
      </c>
      <c r="O40" s="26">
        <v>389.69267300091315</v>
      </c>
      <c r="P40" s="27">
        <v>425.95704587782467</v>
      </c>
      <c r="Q40" s="28">
        <v>355.07512871287139</v>
      </c>
    </row>
    <row r="41" spans="1:17">
      <c r="A41" s="18"/>
      <c r="B41" s="19">
        <f t="shared" si="0"/>
        <v>37</v>
      </c>
      <c r="C41" s="20">
        <v>3631.5</v>
      </c>
      <c r="D41" s="21">
        <v>3815.1</v>
      </c>
      <c r="E41" s="22">
        <v>3445.2000000000003</v>
      </c>
      <c r="F41" s="20">
        <v>2464.2000000000003</v>
      </c>
      <c r="G41" s="21">
        <v>2633.4</v>
      </c>
      <c r="H41" s="22">
        <v>2294.1</v>
      </c>
      <c r="I41" s="23">
        <v>4.0999999999999988</v>
      </c>
      <c r="J41" s="24">
        <v>3.5499999999999972</v>
      </c>
      <c r="K41" s="25">
        <v>4.4000000000000012</v>
      </c>
      <c r="L41" s="23">
        <v>1.6374482590698805</v>
      </c>
      <c r="M41" s="24">
        <v>1.6097060833902939</v>
      </c>
      <c r="N41" s="25">
        <v>1.6872117400419286</v>
      </c>
      <c r="O41" s="26">
        <v>390.05446215613392</v>
      </c>
      <c r="P41" s="27">
        <v>426.45258746772254</v>
      </c>
      <c r="Q41" s="28">
        <v>355.22942178259763</v>
      </c>
    </row>
    <row r="42" spans="1:17">
      <c r="A42" s="18"/>
      <c r="B42" s="19">
        <f t="shared" si="0"/>
        <v>38</v>
      </c>
      <c r="C42" s="20">
        <v>3816.9</v>
      </c>
      <c r="D42" s="21">
        <v>4008.6</v>
      </c>
      <c r="E42" s="22">
        <v>3621.6</v>
      </c>
      <c r="F42" s="20">
        <v>2561.4</v>
      </c>
      <c r="G42" s="21">
        <v>2737.8</v>
      </c>
      <c r="H42" s="22">
        <v>2385</v>
      </c>
      <c r="I42" s="23">
        <v>4.2499999999999991</v>
      </c>
      <c r="J42" s="24">
        <v>3.6499999999999972</v>
      </c>
      <c r="K42" s="25">
        <v>4.5500000000000016</v>
      </c>
      <c r="L42" s="23">
        <v>1.6557351448426643</v>
      </c>
      <c r="M42" s="24">
        <v>1.6268536781357295</v>
      </c>
      <c r="N42" s="25">
        <v>1.7056423926652935</v>
      </c>
      <c r="O42" s="26">
        <v>389.79990051378149</v>
      </c>
      <c r="P42" s="27">
        <v>426.69872777515195</v>
      </c>
      <c r="Q42" s="28">
        <v>355.06767045751803</v>
      </c>
    </row>
    <row r="43" spans="1:17">
      <c r="A43" s="18"/>
      <c r="B43" s="19">
        <f t="shared" si="0"/>
        <v>39</v>
      </c>
      <c r="C43" s="20">
        <v>4005</v>
      </c>
      <c r="D43" s="21">
        <v>4205.7</v>
      </c>
      <c r="E43" s="22">
        <v>3800.7000000000003</v>
      </c>
      <c r="F43" s="20">
        <v>2658.6</v>
      </c>
      <c r="G43" s="21">
        <v>2842.2000000000003</v>
      </c>
      <c r="H43" s="22">
        <v>2475.9</v>
      </c>
      <c r="I43" s="23">
        <v>4.3999999999999995</v>
      </c>
      <c r="J43" s="24">
        <v>3.7499999999999973</v>
      </c>
      <c r="K43" s="25">
        <v>4.700000000000002</v>
      </c>
      <c r="L43" s="23">
        <v>1.6738132851876928</v>
      </c>
      <c r="M43" s="24">
        <v>1.644148898740412</v>
      </c>
      <c r="N43" s="25">
        <v>1.7243260090384915</v>
      </c>
      <c r="O43" s="26">
        <v>389.3491896145203</v>
      </c>
      <c r="P43" s="27">
        <v>426.62826046519297</v>
      </c>
      <c r="Q43" s="28">
        <v>354.7099832984207</v>
      </c>
    </row>
    <row r="44" spans="1:17">
      <c r="A44" s="18"/>
      <c r="B44" s="19">
        <f t="shared" si="0"/>
        <v>40</v>
      </c>
      <c r="C44" s="20">
        <v>4196.7</v>
      </c>
      <c r="D44" s="21">
        <v>4406.4000000000005</v>
      </c>
      <c r="E44" s="22">
        <v>3983.4</v>
      </c>
      <c r="F44" s="20">
        <v>2755.8</v>
      </c>
      <c r="G44" s="21">
        <v>2946.6</v>
      </c>
      <c r="H44" s="22">
        <v>2566.8000000000002</v>
      </c>
      <c r="I44" s="23">
        <v>4.55</v>
      </c>
      <c r="J44" s="24">
        <v>3.8499999999999974</v>
      </c>
      <c r="K44" s="25">
        <v>4.8500000000000023</v>
      </c>
      <c r="L44" s="23">
        <v>1.6920676391610421</v>
      </c>
      <c r="M44" s="24">
        <v>1.6615760537568722</v>
      </c>
      <c r="N44" s="25">
        <v>1.7438271604938271</v>
      </c>
      <c r="O44" s="26">
        <v>388.63858617735372</v>
      </c>
      <c r="P44" s="27">
        <v>426.27538679227945</v>
      </c>
      <c r="Q44" s="28">
        <v>354.09635231360141</v>
      </c>
    </row>
    <row r="45" spans="1:17">
      <c r="A45" s="18"/>
      <c r="B45" s="19">
        <f t="shared" si="0"/>
        <v>41</v>
      </c>
      <c r="C45" s="20">
        <v>4392</v>
      </c>
      <c r="D45" s="21">
        <v>4609.8</v>
      </c>
      <c r="E45" s="22">
        <v>4169.7</v>
      </c>
      <c r="F45" s="20">
        <v>2853</v>
      </c>
      <c r="G45" s="21">
        <v>3050.1</v>
      </c>
      <c r="H45" s="22">
        <v>2656.8</v>
      </c>
      <c r="I45" s="23">
        <v>4.7</v>
      </c>
      <c r="J45" s="24">
        <v>3.9499999999999975</v>
      </c>
      <c r="K45" s="25">
        <v>5.0000000000000027</v>
      </c>
      <c r="L45" s="23">
        <v>1.7104801962846128</v>
      </c>
      <c r="M45" s="24">
        <v>1.6792892036326679</v>
      </c>
      <c r="N45" s="25">
        <v>1.7631425658948594</v>
      </c>
      <c r="O45" s="26">
        <v>387.69728993402634</v>
      </c>
      <c r="P45" s="27">
        <v>425.5024792432929</v>
      </c>
      <c r="Q45" s="28">
        <v>353.01663716814164</v>
      </c>
    </row>
    <row r="46" spans="1:17">
      <c r="A46" s="18"/>
      <c r="B46" s="29">
        <f t="shared" si="0"/>
        <v>42</v>
      </c>
      <c r="C46" s="13">
        <v>4590</v>
      </c>
      <c r="D46" s="13">
        <v>4816.8</v>
      </c>
      <c r="E46" s="13">
        <v>4358.7</v>
      </c>
      <c r="F46" s="13">
        <v>2950.2000000000003</v>
      </c>
      <c r="G46" s="13">
        <v>3152.7000000000003</v>
      </c>
      <c r="H46" s="13">
        <v>2746.8</v>
      </c>
      <c r="I46" s="15">
        <v>4.8500000000000005</v>
      </c>
      <c r="J46" s="15">
        <v>4.0499999999999972</v>
      </c>
      <c r="K46" s="15">
        <v>5.150000000000003</v>
      </c>
      <c r="L46" s="15">
        <v>1.7286963595688425</v>
      </c>
      <c r="M46" s="15">
        <v>1.6975925397278522</v>
      </c>
      <c r="N46" s="15">
        <v>1.7832081526146901</v>
      </c>
      <c r="O46" s="16">
        <v>386.62705686554636</v>
      </c>
      <c r="P46" s="16">
        <v>424.27249447269389</v>
      </c>
      <c r="Q46" s="16">
        <v>351.82577518067313</v>
      </c>
    </row>
    <row r="47" spans="1:17">
      <c r="A47" s="18" t="s">
        <v>17</v>
      </c>
      <c r="B47" s="19">
        <f t="shared" si="0"/>
        <v>43</v>
      </c>
      <c r="C47" s="20">
        <v>4791.6000000000004</v>
      </c>
      <c r="D47" s="21">
        <v>5027.4000000000005</v>
      </c>
      <c r="E47" s="22">
        <v>4551.3</v>
      </c>
      <c r="F47" s="20">
        <v>3045.6</v>
      </c>
      <c r="G47" s="21">
        <v>3255.3</v>
      </c>
      <c r="H47" s="22">
        <v>2835.9</v>
      </c>
      <c r="I47" s="23">
        <v>5.0000000000000009</v>
      </c>
      <c r="J47" s="24">
        <v>4.1499999999999968</v>
      </c>
      <c r="K47" s="25">
        <v>5.3000000000000034</v>
      </c>
      <c r="L47" s="23">
        <v>1.7480956133438403</v>
      </c>
      <c r="M47" s="24">
        <v>1.7159708782600682</v>
      </c>
      <c r="N47" s="25">
        <v>1.8034188034188035</v>
      </c>
      <c r="O47" s="26">
        <v>384.91322279104713</v>
      </c>
      <c r="P47" s="27">
        <v>422.86794641358381</v>
      </c>
      <c r="Q47" s="28">
        <v>350.24375068728136</v>
      </c>
    </row>
    <row r="48" spans="1:17">
      <c r="A48" s="18"/>
      <c r="B48" s="19">
        <f t="shared" si="0"/>
        <v>44</v>
      </c>
      <c r="C48" s="20">
        <v>4996.8</v>
      </c>
      <c r="D48" s="21">
        <v>5240.7</v>
      </c>
      <c r="E48" s="22">
        <v>4747.5</v>
      </c>
      <c r="F48" s="20">
        <v>3141</v>
      </c>
      <c r="G48" s="21">
        <v>3357</v>
      </c>
      <c r="H48" s="22">
        <v>2925</v>
      </c>
      <c r="I48" s="23">
        <v>5.1500000000000012</v>
      </c>
      <c r="J48" s="24">
        <v>4.2499999999999964</v>
      </c>
      <c r="K48" s="25">
        <v>5.4500000000000037</v>
      </c>
      <c r="L48" s="23">
        <v>1.7675899395097103</v>
      </c>
      <c r="M48" s="24">
        <v>1.7345844504021448</v>
      </c>
      <c r="N48" s="25">
        <v>1.8243063852382846</v>
      </c>
      <c r="O48" s="26">
        <v>383.06376606710108</v>
      </c>
      <c r="P48" s="27">
        <v>421.15503635661099</v>
      </c>
      <c r="Q48" s="28">
        <v>348.52836869883674</v>
      </c>
    </row>
    <row r="49" spans="1:17">
      <c r="A49" s="18"/>
      <c r="B49" s="19">
        <f t="shared" si="0"/>
        <v>45</v>
      </c>
      <c r="C49" s="20">
        <v>5205.6000000000004</v>
      </c>
      <c r="D49" s="21">
        <v>5457.6</v>
      </c>
      <c r="E49" s="22">
        <v>4947.3</v>
      </c>
      <c r="F49" s="20">
        <v>3235.5</v>
      </c>
      <c r="G49" s="21">
        <v>3457.8</v>
      </c>
      <c r="H49" s="22">
        <v>3013.2000000000003</v>
      </c>
      <c r="I49" s="23">
        <v>5.3000000000000016</v>
      </c>
      <c r="J49" s="24">
        <v>4.3999999999999968</v>
      </c>
      <c r="K49" s="25">
        <v>5.6000000000000041</v>
      </c>
      <c r="L49" s="23">
        <v>1.7876680574872508</v>
      </c>
      <c r="M49" s="24">
        <v>1.7537162357568397</v>
      </c>
      <c r="N49" s="25">
        <v>1.8458313175294307</v>
      </c>
      <c r="O49" s="26">
        <v>380.88335088174279</v>
      </c>
      <c r="P49" s="27">
        <v>418.87643224274416</v>
      </c>
      <c r="Q49" s="28">
        <v>346.48916712388581</v>
      </c>
    </row>
    <row r="50" spans="1:17">
      <c r="A50" s="18"/>
      <c r="B50" s="19">
        <f t="shared" si="0"/>
        <v>46</v>
      </c>
      <c r="C50" s="20">
        <v>5418</v>
      </c>
      <c r="D50" s="21">
        <v>5678.1</v>
      </c>
      <c r="E50" s="22">
        <v>5150.7</v>
      </c>
      <c r="F50" s="20">
        <v>3329.1</v>
      </c>
      <c r="G50" s="21">
        <v>3556.8</v>
      </c>
      <c r="H50" s="22">
        <v>3100.5</v>
      </c>
      <c r="I50" s="23">
        <v>5.450000000000002</v>
      </c>
      <c r="J50" s="24">
        <v>4.5499999999999972</v>
      </c>
      <c r="K50" s="25">
        <v>5.7500000000000044</v>
      </c>
      <c r="L50" s="23">
        <v>1.8082965366014838</v>
      </c>
      <c r="M50" s="24">
        <v>1.7737854251012146</v>
      </c>
      <c r="N50" s="25">
        <v>1.8684871311989957</v>
      </c>
      <c r="O50" s="26">
        <v>378.40850746984688</v>
      </c>
      <c r="P50" s="27">
        <v>416.07963937232523</v>
      </c>
      <c r="Q50" s="28">
        <v>344.16226612771504</v>
      </c>
    </row>
    <row r="51" spans="1:17">
      <c r="A51" s="18"/>
      <c r="B51" s="19">
        <f t="shared" si="0"/>
        <v>47</v>
      </c>
      <c r="C51" s="20">
        <v>5633.1</v>
      </c>
      <c r="D51" s="21">
        <v>5901.3</v>
      </c>
      <c r="E51" s="22">
        <v>5357.7</v>
      </c>
      <c r="F51" s="20">
        <v>3420.9</v>
      </c>
      <c r="G51" s="21">
        <v>3655.8</v>
      </c>
      <c r="H51" s="22">
        <v>3186</v>
      </c>
      <c r="I51" s="23">
        <v>5.6000000000000023</v>
      </c>
      <c r="J51" s="24">
        <v>4.6999999999999975</v>
      </c>
      <c r="K51" s="25">
        <v>5.9000000000000048</v>
      </c>
      <c r="L51" s="23">
        <v>1.8296354760443159</v>
      </c>
      <c r="M51" s="24">
        <v>1.7935882706931452</v>
      </c>
      <c r="N51" s="25">
        <v>1.891181415252942</v>
      </c>
      <c r="O51" s="26">
        <v>375.53458776434269</v>
      </c>
      <c r="P51" s="27">
        <v>413.28982763004615</v>
      </c>
      <c r="Q51" s="28">
        <v>341.3873511299505</v>
      </c>
    </row>
    <row r="52" spans="1:17">
      <c r="A52" s="18"/>
      <c r="B52" s="19">
        <f t="shared" si="0"/>
        <v>48</v>
      </c>
      <c r="C52" s="20">
        <v>5851.8</v>
      </c>
      <c r="D52" s="21">
        <v>6128.1</v>
      </c>
      <c r="E52" s="22">
        <v>5568.3</v>
      </c>
      <c r="F52" s="20">
        <v>3511.8</v>
      </c>
      <c r="G52" s="21">
        <v>3752.1</v>
      </c>
      <c r="H52" s="22">
        <v>3271.5</v>
      </c>
      <c r="I52" s="23">
        <v>5.7500000000000027</v>
      </c>
      <c r="J52" s="24">
        <v>4.8499999999999979</v>
      </c>
      <c r="K52" s="25">
        <v>6.0500000000000052</v>
      </c>
      <c r="L52" s="23">
        <v>1.8514721795090836</v>
      </c>
      <c r="M52" s="24">
        <v>1.8147170917619466</v>
      </c>
      <c r="N52" s="25">
        <v>1.9149380066762038</v>
      </c>
      <c r="O52" s="26">
        <v>372.43690190518305</v>
      </c>
      <c r="P52" s="27">
        <v>409.85763545537156</v>
      </c>
      <c r="Q52" s="28">
        <v>338.58622107089457</v>
      </c>
    </row>
    <row r="53" spans="1:17">
      <c r="A53" s="18"/>
      <c r="B53" s="29">
        <f t="shared" si="0"/>
        <v>49</v>
      </c>
      <c r="C53" s="13">
        <v>6074.1</v>
      </c>
      <c r="D53" s="13">
        <v>6357.6</v>
      </c>
      <c r="E53" s="13">
        <v>5782.5</v>
      </c>
      <c r="F53" s="13">
        <v>3600.9</v>
      </c>
      <c r="G53" s="13">
        <v>3847.5</v>
      </c>
      <c r="H53" s="13">
        <v>3355.2000000000003</v>
      </c>
      <c r="I53" s="15">
        <v>5.900000000000003</v>
      </c>
      <c r="J53" s="15">
        <v>4.9999999999999982</v>
      </c>
      <c r="K53" s="15">
        <v>6.2000000000000055</v>
      </c>
      <c r="L53" s="15">
        <v>1.8742536588075203</v>
      </c>
      <c r="M53" s="15">
        <v>1.8359974009096816</v>
      </c>
      <c r="N53" s="15">
        <v>1.9397166215705099</v>
      </c>
      <c r="O53" s="16">
        <v>368.95740993253725</v>
      </c>
      <c r="P53" s="16">
        <v>406.28809015820377</v>
      </c>
      <c r="Q53" s="16">
        <v>335.40571058588108</v>
      </c>
    </row>
    <row r="54" spans="1:17">
      <c r="A54" s="18" t="s">
        <v>18</v>
      </c>
      <c r="B54" s="19">
        <f t="shared" si="0"/>
        <v>50</v>
      </c>
      <c r="C54" s="20">
        <v>6299.1</v>
      </c>
      <c r="D54" s="21">
        <v>6589.8</v>
      </c>
      <c r="E54" s="22">
        <v>6000.3</v>
      </c>
      <c r="F54" s="20">
        <v>3689.1</v>
      </c>
      <c r="G54" s="21">
        <v>3941.1</v>
      </c>
      <c r="H54" s="22">
        <v>3437.1</v>
      </c>
      <c r="I54" s="23">
        <v>6.0000000000000027</v>
      </c>
      <c r="J54" s="24">
        <v>5.0999999999999979</v>
      </c>
      <c r="K54" s="25">
        <v>6.3000000000000052</v>
      </c>
      <c r="L54" s="23">
        <v>1.8972107017971862</v>
      </c>
      <c r="M54" s="24">
        <v>1.8578569434929335</v>
      </c>
      <c r="N54" s="25">
        <v>1.9646968534151956</v>
      </c>
      <c r="O54" s="26">
        <v>365.56340281183026</v>
      </c>
      <c r="P54" s="27">
        <v>402.62560721906584</v>
      </c>
      <c r="Q54" s="28">
        <v>332.06527842117896</v>
      </c>
    </row>
    <row r="55" spans="1:17">
      <c r="A55" s="18"/>
      <c r="B55" s="19">
        <f t="shared" si="0"/>
        <v>51</v>
      </c>
      <c r="C55" s="20">
        <v>6526.8</v>
      </c>
      <c r="D55" s="21">
        <v>6824.7</v>
      </c>
      <c r="E55" s="22">
        <v>6220.8</v>
      </c>
      <c r="F55" s="20">
        <v>3775.5</v>
      </c>
      <c r="G55" s="21">
        <v>4032.9</v>
      </c>
      <c r="H55" s="22">
        <v>3518.1</v>
      </c>
      <c r="I55" s="23">
        <v>6.1000000000000023</v>
      </c>
      <c r="J55" s="24">
        <v>5.1999999999999975</v>
      </c>
      <c r="K55" s="25">
        <v>6.4000000000000048</v>
      </c>
      <c r="L55" s="23">
        <v>1.9208051913653821</v>
      </c>
      <c r="M55" s="24">
        <v>1.8802846586823379</v>
      </c>
      <c r="N55" s="25">
        <v>1.9906596614127263</v>
      </c>
      <c r="O55" s="26">
        <v>361.89832243032345</v>
      </c>
      <c r="P55" s="27">
        <v>398.68694227490278</v>
      </c>
      <c r="Q55" s="28">
        <v>328.63839650735292</v>
      </c>
    </row>
    <row r="56" spans="1:17">
      <c r="A56" s="18"/>
      <c r="B56" s="19">
        <f t="shared" si="0"/>
        <v>52</v>
      </c>
      <c r="C56" s="20">
        <v>6757.2</v>
      </c>
      <c r="D56" s="21">
        <v>7061.4000000000005</v>
      </c>
      <c r="E56" s="22">
        <v>6444.9000000000005</v>
      </c>
      <c r="F56" s="20">
        <v>3860.1</v>
      </c>
      <c r="G56" s="21">
        <v>4122</v>
      </c>
      <c r="H56" s="22">
        <v>3597.3</v>
      </c>
      <c r="I56" s="23">
        <v>6.200000000000002</v>
      </c>
      <c r="J56" s="24">
        <v>5.2999999999999972</v>
      </c>
      <c r="K56" s="25">
        <v>6.5000000000000044</v>
      </c>
      <c r="L56" s="23">
        <v>1.9450273308981632</v>
      </c>
      <c r="M56" s="24">
        <v>1.9034449296458029</v>
      </c>
      <c r="N56" s="25">
        <v>2.0173075353090049</v>
      </c>
      <c r="O56" s="26">
        <v>357.99119260942177</v>
      </c>
      <c r="P56" s="27">
        <v>394.37947675444622</v>
      </c>
      <c r="Q56" s="28">
        <v>324.92857723325056</v>
      </c>
    </row>
    <row r="57" spans="1:17">
      <c r="A57" s="18"/>
      <c r="B57" s="19">
        <f t="shared" si="0"/>
        <v>53</v>
      </c>
      <c r="C57" s="20">
        <v>6989.4000000000005</v>
      </c>
      <c r="D57" s="21">
        <v>7299.9000000000005</v>
      </c>
      <c r="E57" s="22">
        <v>6671.7</v>
      </c>
      <c r="F57" s="20">
        <v>3942</v>
      </c>
      <c r="G57" s="21">
        <v>4209.3</v>
      </c>
      <c r="H57" s="22">
        <v>3674.7000000000003</v>
      </c>
      <c r="I57" s="23">
        <v>6.3000000000000016</v>
      </c>
      <c r="J57" s="24">
        <v>5.3999999999999968</v>
      </c>
      <c r="K57" s="25">
        <v>6.6000000000000041</v>
      </c>
      <c r="L57" s="23">
        <v>1.9700659563673262</v>
      </c>
      <c r="M57" s="24">
        <v>1.92692371653244</v>
      </c>
      <c r="N57" s="25">
        <v>2.0443697837506334</v>
      </c>
      <c r="O57" s="26">
        <v>353.75254661101371</v>
      </c>
      <c r="P57" s="27">
        <v>389.90663365473864</v>
      </c>
      <c r="Q57" s="28">
        <v>321.01164359551933</v>
      </c>
    </row>
    <row r="58" spans="1:17">
      <c r="A58" s="18"/>
      <c r="B58" s="19">
        <f t="shared" si="0"/>
        <v>54</v>
      </c>
      <c r="C58" s="20">
        <v>7223.4000000000005</v>
      </c>
      <c r="D58" s="21">
        <v>7539.3</v>
      </c>
      <c r="E58" s="22">
        <v>6900.3</v>
      </c>
      <c r="F58" s="20">
        <v>4023</v>
      </c>
      <c r="G58" s="21">
        <v>4294.8</v>
      </c>
      <c r="H58" s="22">
        <v>3750.3</v>
      </c>
      <c r="I58" s="23">
        <v>6.450000000000002</v>
      </c>
      <c r="J58" s="24">
        <v>5.5499999999999972</v>
      </c>
      <c r="K58" s="25">
        <v>6.7500000000000044</v>
      </c>
      <c r="L58" s="23">
        <v>1.9950285856326124</v>
      </c>
      <c r="M58" s="24">
        <v>1.9504982769861228</v>
      </c>
      <c r="N58" s="25">
        <v>2.0718600455009022</v>
      </c>
      <c r="O58" s="26">
        <v>349.34211219785692</v>
      </c>
      <c r="P58" s="27">
        <v>385.12842702638181</v>
      </c>
      <c r="Q58" s="28">
        <v>316.78283212142952</v>
      </c>
    </row>
    <row r="59" spans="1:17">
      <c r="A59" s="18"/>
      <c r="B59" s="19">
        <f t="shared" si="0"/>
        <v>55</v>
      </c>
      <c r="C59" s="20">
        <v>7458.3</v>
      </c>
      <c r="D59" s="21">
        <v>7778.7</v>
      </c>
      <c r="E59" s="22">
        <v>7130.7</v>
      </c>
      <c r="F59" s="20">
        <v>4101.3</v>
      </c>
      <c r="G59" s="21">
        <v>4377.6000000000004</v>
      </c>
      <c r="H59" s="22">
        <v>3824.1</v>
      </c>
      <c r="I59" s="23">
        <v>6.6000000000000023</v>
      </c>
      <c r="J59" s="24">
        <v>5.6999999999999975</v>
      </c>
      <c r="K59" s="25">
        <v>6.9000000000000048</v>
      </c>
      <c r="L59" s="23">
        <v>2.0205788408553387</v>
      </c>
      <c r="M59" s="24">
        <v>1.9743695175438596</v>
      </c>
      <c r="N59" s="25">
        <v>2.0995354328687661</v>
      </c>
      <c r="O59" s="26">
        <v>344.69098409249972</v>
      </c>
      <c r="P59" s="27">
        <v>380.15144151714998</v>
      </c>
      <c r="Q59" s="28">
        <v>312.43222136036627</v>
      </c>
    </row>
    <row r="60" spans="1:17">
      <c r="A60" s="18"/>
      <c r="B60" s="29">
        <f t="shared" si="0"/>
        <v>56</v>
      </c>
      <c r="C60" s="13">
        <v>7694.1</v>
      </c>
      <c r="D60" s="13">
        <v>8018.1</v>
      </c>
      <c r="E60" s="13">
        <v>7362</v>
      </c>
      <c r="F60" s="13">
        <v>4176.9000000000005</v>
      </c>
      <c r="G60" s="13">
        <v>4457.7</v>
      </c>
      <c r="H60" s="13">
        <v>3896.1</v>
      </c>
      <c r="I60" s="15">
        <v>6.7500000000000027</v>
      </c>
      <c r="J60" s="15">
        <v>5.8499999999999979</v>
      </c>
      <c r="K60" s="15">
        <v>7.0500000000000052</v>
      </c>
      <c r="L60" s="15">
        <v>2.0467332232038111</v>
      </c>
      <c r="M60" s="15">
        <v>1.9985642820288489</v>
      </c>
      <c r="N60" s="15"/>
      <c r="O60" s="16">
        <v>339.82369055956849</v>
      </c>
      <c r="P60" s="16">
        <v>374.99459949278821</v>
      </c>
      <c r="Q60" s="16">
        <v>308.01243773347448</v>
      </c>
    </row>
    <row r="61" spans="1:17">
      <c r="H61" s="31"/>
    </row>
  </sheetData>
  <mergeCells count="16">
    <mergeCell ref="A54:A60"/>
    <mergeCell ref="A33:A39"/>
    <mergeCell ref="A40:A46"/>
    <mergeCell ref="A47:A53"/>
    <mergeCell ref="A12:A18"/>
    <mergeCell ref="A19:A25"/>
    <mergeCell ref="A26:A32"/>
    <mergeCell ref="A3:B3"/>
    <mergeCell ref="A5:A11"/>
    <mergeCell ref="A1:Q1"/>
    <mergeCell ref="A2:B2"/>
    <mergeCell ref="C2:E2"/>
    <mergeCell ref="F2:H2"/>
    <mergeCell ref="I2:K2"/>
    <mergeCell ref="L2:N2"/>
    <mergeCell ref="O2:Q2"/>
  </mergeCells>
  <pageMargins left="0.70866141732283472" right="0.70866141732283472" top="0.74803149606299213" bottom="0.74803149606299213" header="0.31496062992125984" footer="0.31496062992125984"/>
  <pageSetup scale="3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Chuwit Std.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Chuwit Farm(2019) PLC.</dc:creator>
  <cp:lastModifiedBy>Chuwit Farm(2019) PLC.</cp:lastModifiedBy>
  <dcterms:created xsi:type="dcterms:W3CDTF">2026-07-01T06:30:24Z</dcterms:created>
  <dcterms:modified xsi:type="dcterms:W3CDTF">2026-07-01T06:31:40Z</dcterms:modified>
</cp:coreProperties>
</file>